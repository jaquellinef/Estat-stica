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368a8270a4effb/Área de Trabalho/Cursos/FATEC/2026-2/Estatística/"/>
    </mc:Choice>
  </mc:AlternateContent>
  <xr:revisionPtr revIDLastSave="10" documentId="11_F53D929CBD14A32503D3D75D5DA231C0D91AFFFD" xr6:coauthVersionLast="47" xr6:coauthVersionMax="47" xr10:uidLastSave="{DFCABA5D-E893-4EDF-A1D0-FCF85B9234EB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E18" i="1"/>
  <c r="D18" i="1"/>
  <c r="B18" i="1"/>
  <c r="A18" i="1"/>
  <c r="B14" i="1"/>
  <c r="A14" i="1"/>
  <c r="E13" i="1" l="1"/>
  <c r="H13" i="1" s="1"/>
  <c r="E12" i="1"/>
  <c r="H12" i="1" s="1"/>
  <c r="E11" i="1"/>
  <c r="H11" i="1" s="1"/>
  <c r="E6" i="1"/>
  <c r="H6" i="1" s="1"/>
  <c r="E10" i="1"/>
  <c r="H10" i="1" s="1"/>
  <c r="E9" i="1"/>
  <c r="H9" i="1" s="1"/>
  <c r="E8" i="1"/>
  <c r="H8" i="1" s="1"/>
  <c r="E7" i="1"/>
  <c r="H7" i="1" s="1"/>
  <c r="E5" i="1"/>
  <c r="H5" i="1" s="1"/>
  <c r="E4" i="1"/>
  <c r="D13" i="1"/>
  <c r="G13" i="1" s="1"/>
  <c r="D12" i="1"/>
  <c r="G12" i="1" s="1"/>
  <c r="D10" i="1"/>
  <c r="G10" i="1" s="1"/>
  <c r="D9" i="1"/>
  <c r="G9" i="1" s="1"/>
  <c r="D8" i="1"/>
  <c r="G8" i="1" s="1"/>
  <c r="D7" i="1"/>
  <c r="G7" i="1" s="1"/>
  <c r="D11" i="1"/>
  <c r="G11" i="1" s="1"/>
  <c r="D6" i="1"/>
  <c r="G6" i="1" s="1"/>
  <c r="D5" i="1"/>
  <c r="G5" i="1" s="1"/>
  <c r="D4" i="1"/>
  <c r="E14" i="1" l="1"/>
  <c r="H4" i="1"/>
  <c r="H14" i="1" s="1"/>
  <c r="H15" i="1" s="1"/>
  <c r="K5" i="1" s="1"/>
  <c r="D14" i="1"/>
  <c r="G4" i="1"/>
  <c r="G14" i="1" s="1"/>
  <c r="G15" i="1" s="1"/>
  <c r="J5" i="1" s="1"/>
</calcChain>
</file>

<file path=xl/sharedStrings.xml><?xml version="1.0" encoding="utf-8"?>
<sst xmlns="http://schemas.openxmlformats.org/spreadsheetml/2006/main" count="18" uniqueCount="9">
  <si>
    <t>CR</t>
  </si>
  <si>
    <t>TNM</t>
  </si>
  <si>
    <t>Média aritmética</t>
  </si>
  <si>
    <t>Desvio médio</t>
  </si>
  <si>
    <t>Variância</t>
  </si>
  <si>
    <t>Desvios quadrados</t>
  </si>
  <si>
    <t>Desvio padrão</t>
  </si>
  <si>
    <t>No caderno, o exercício 46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</si>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</sst>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/>
    <xf numFmtId="2" fontId="0" fillId="5" borderId="1" xfId="0" applyNumberFormat="1" applyFill="1" applyBorder="1"/>
    <xf numFmtId="0" fontId="0" fillId="4" borderId="1" xfId="0" applyFill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E18" sqref="E18"/>
    </sheetView>
  </sheetViews>
  <sheetFormatPr defaultRowHeight="15" x14ac:dyDescent="0.25"/>
  <cols>
    <col min="4" max="4" width="13.42578125" customWidth="1"/>
  </cols>
  <sheetData>
    <row r="1" spans="1:11" x14ac:dyDescent="0.25">
      <c r="A1">
        <v>1</v>
      </c>
    </row>
    <row r="2" spans="1:11" x14ac:dyDescent="0.25">
      <c r="A2" s="14" t="s">
        <v>2</v>
      </c>
      <c r="B2" s="14"/>
      <c r="D2" s="14" t="s">
        <v>3</v>
      </c>
      <c r="E2" s="14"/>
      <c r="G2" s="14" t="s">
        <v>4</v>
      </c>
      <c r="H2" s="14"/>
      <c r="J2" s="16" t="s">
        <v>6</v>
      </c>
      <c r="K2" s="16"/>
    </row>
    <row r="3" spans="1:11" x14ac:dyDescent="0.25">
      <c r="A3" s="3" t="s">
        <v>0</v>
      </c>
      <c r="B3" s="3" t="s">
        <v>1</v>
      </c>
      <c r="D3" s="3" t="s">
        <v>0</v>
      </c>
      <c r="E3" s="3" t="s">
        <v>1</v>
      </c>
      <c r="G3" s="3" t="s">
        <v>0</v>
      </c>
      <c r="H3" s="3" t="s">
        <v>1</v>
      </c>
    </row>
    <row r="4" spans="1:11" x14ac:dyDescent="0.25">
      <c r="A4" s="2">
        <v>11</v>
      </c>
      <c r="B4" s="2">
        <v>8</v>
      </c>
      <c r="D4" s="1">
        <f>(A4-$A$14)</f>
        <v>0.69999999999999929</v>
      </c>
      <c r="E4" s="1">
        <f>(B4-$B$14)</f>
        <v>-2.3000000000000007</v>
      </c>
      <c r="G4" s="1">
        <f>(D4)^2</f>
        <v>0.48999999999999899</v>
      </c>
      <c r="H4" s="1">
        <f>(E4)^2</f>
        <v>5.2900000000000036</v>
      </c>
      <c r="J4" s="9" t="s">
        <v>0</v>
      </c>
      <c r="K4" s="9" t="s">
        <v>1</v>
      </c>
    </row>
    <row r="5" spans="1:11" x14ac:dyDescent="0.25">
      <c r="A5" s="2">
        <v>10</v>
      </c>
      <c r="B5" s="2">
        <v>10</v>
      </c>
      <c r="D5" s="1">
        <f t="shared" ref="D5:D13" si="0">(A5-$A$14)</f>
        <v>-0.30000000000000071</v>
      </c>
      <c r="E5" s="1">
        <f t="shared" ref="E5:E13" si="1">(B5-$B$14)</f>
        <v>-0.30000000000000071</v>
      </c>
      <c r="G5" s="1">
        <f t="shared" ref="G5:H13" si="2">(D5)^2</f>
        <v>9.0000000000000427E-2</v>
      </c>
      <c r="H5" s="1">
        <f t="shared" si="2"/>
        <v>9.0000000000000427E-2</v>
      </c>
      <c r="J5" s="10">
        <f>SQRT(G15)</f>
        <v>0.6403124237432849</v>
      </c>
      <c r="K5" s="10">
        <f>SQRT(H15)</f>
        <v>2.4515301344262523</v>
      </c>
    </row>
    <row r="6" spans="1:11" x14ac:dyDescent="0.25">
      <c r="A6" s="2">
        <v>9</v>
      </c>
      <c r="B6" s="2">
        <v>13</v>
      </c>
      <c r="D6" s="1">
        <f t="shared" si="0"/>
        <v>-1.3000000000000007</v>
      </c>
      <c r="E6" s="1">
        <f t="shared" si="1"/>
        <v>2.6999999999999993</v>
      </c>
      <c r="G6" s="1">
        <f t="shared" si="2"/>
        <v>1.6900000000000019</v>
      </c>
      <c r="H6" s="1">
        <f t="shared" si="2"/>
        <v>7.2899999999999965</v>
      </c>
    </row>
    <row r="7" spans="1:11" x14ac:dyDescent="0.25">
      <c r="A7" s="2">
        <v>10</v>
      </c>
      <c r="B7" s="2">
        <v>7</v>
      </c>
      <c r="D7" s="1">
        <f t="shared" si="0"/>
        <v>-0.30000000000000071</v>
      </c>
      <c r="E7" s="1">
        <f t="shared" si="1"/>
        <v>-3.3000000000000007</v>
      </c>
      <c r="G7" s="1">
        <f t="shared" si="2"/>
        <v>9.0000000000000427E-2</v>
      </c>
      <c r="H7" s="1">
        <f t="shared" si="2"/>
        <v>10.890000000000004</v>
      </c>
    </row>
    <row r="8" spans="1:11" x14ac:dyDescent="0.25">
      <c r="A8" s="2">
        <v>11</v>
      </c>
      <c r="B8" s="2">
        <v>10</v>
      </c>
      <c r="D8" s="1">
        <f t="shared" si="0"/>
        <v>0.69999999999999929</v>
      </c>
      <c r="E8" s="1">
        <f t="shared" si="1"/>
        <v>-0.30000000000000071</v>
      </c>
      <c r="G8" s="1">
        <f t="shared" si="2"/>
        <v>0.48999999999999899</v>
      </c>
      <c r="H8" s="1">
        <f t="shared" si="2"/>
        <v>9.0000000000000427E-2</v>
      </c>
    </row>
    <row r="9" spans="1:11" x14ac:dyDescent="0.25">
      <c r="A9" s="2">
        <v>11</v>
      </c>
      <c r="B9" s="2">
        <v>11</v>
      </c>
      <c r="D9" s="1">
        <f t="shared" si="0"/>
        <v>0.69999999999999929</v>
      </c>
      <c r="E9" s="1">
        <f t="shared" si="1"/>
        <v>0.69999999999999929</v>
      </c>
      <c r="G9" s="1">
        <f t="shared" si="2"/>
        <v>0.48999999999999899</v>
      </c>
      <c r="H9" s="1">
        <f t="shared" si="2"/>
        <v>0.48999999999999899</v>
      </c>
    </row>
    <row r="10" spans="1:11" x14ac:dyDescent="0.25">
      <c r="A10" s="2">
        <v>10</v>
      </c>
      <c r="B10" s="2">
        <v>10</v>
      </c>
      <c r="D10" s="1">
        <f t="shared" si="0"/>
        <v>-0.30000000000000071</v>
      </c>
      <c r="E10" s="1">
        <f t="shared" si="1"/>
        <v>-0.30000000000000071</v>
      </c>
      <c r="G10" s="1">
        <f t="shared" si="2"/>
        <v>9.0000000000000427E-2</v>
      </c>
      <c r="H10" s="1">
        <f t="shared" si="2"/>
        <v>9.0000000000000427E-2</v>
      </c>
    </row>
    <row r="11" spans="1:11" x14ac:dyDescent="0.25">
      <c r="A11" s="2">
        <v>11</v>
      </c>
      <c r="B11" s="2">
        <v>7</v>
      </c>
      <c r="D11" s="1">
        <f t="shared" si="0"/>
        <v>0.69999999999999929</v>
      </c>
      <c r="E11" s="1">
        <f t="shared" si="1"/>
        <v>-3.3000000000000007</v>
      </c>
      <c r="G11" s="1">
        <f t="shared" si="2"/>
        <v>0.48999999999999899</v>
      </c>
      <c r="H11" s="1">
        <f t="shared" si="2"/>
        <v>10.890000000000004</v>
      </c>
    </row>
    <row r="12" spans="1:11" x14ac:dyDescent="0.25">
      <c r="A12" s="2">
        <v>10</v>
      </c>
      <c r="B12" s="2">
        <v>15</v>
      </c>
      <c r="D12" s="1">
        <f t="shared" si="0"/>
        <v>-0.30000000000000071</v>
      </c>
      <c r="E12" s="1">
        <f t="shared" si="1"/>
        <v>4.6999999999999993</v>
      </c>
      <c r="G12" s="1">
        <f t="shared" si="2"/>
        <v>9.0000000000000427E-2</v>
      </c>
      <c r="H12" s="1">
        <f t="shared" si="2"/>
        <v>22.089999999999993</v>
      </c>
    </row>
    <row r="13" spans="1:11" x14ac:dyDescent="0.25">
      <c r="A13" s="2">
        <v>10</v>
      </c>
      <c r="B13" s="2">
        <v>12</v>
      </c>
      <c r="D13" s="1">
        <f t="shared" si="0"/>
        <v>-0.30000000000000071</v>
      </c>
      <c r="E13" s="1">
        <f t="shared" si="1"/>
        <v>1.6999999999999993</v>
      </c>
      <c r="G13" s="1">
        <f t="shared" si="2"/>
        <v>9.0000000000000427E-2</v>
      </c>
      <c r="H13" s="1">
        <f t="shared" si="2"/>
        <v>2.8899999999999975</v>
      </c>
    </row>
    <row r="14" spans="1:11" ht="15.75" thickBot="1" x14ac:dyDescent="0.3">
      <c r="A14" s="4">
        <f>AVERAGE(A4:A13)</f>
        <v>10.3</v>
      </c>
      <c r="B14" s="4">
        <f>AVERAGE(B4:B13)</f>
        <v>10.3</v>
      </c>
      <c r="D14" s="5">
        <f>SUM(D4:D13)</f>
        <v>-7.1054273576010019E-15</v>
      </c>
      <c r="E14" s="5">
        <f>SUM(E4:E13)</f>
        <v>-7.1054273576010019E-15</v>
      </c>
      <c r="G14" s="6">
        <f>SUM(G4:G13)</f>
        <v>4.0999999999999996</v>
      </c>
      <c r="H14" s="6">
        <f>SUM(H4:H13)</f>
        <v>60.099999999999994</v>
      </c>
      <c r="I14" s="18" t="s">
        <v>5</v>
      </c>
      <c r="J14" s="17"/>
    </row>
    <row r="15" spans="1:11" ht="15.75" thickBot="1" x14ac:dyDescent="0.3">
      <c r="G15" s="8">
        <f>G14/10</f>
        <v>0.41</v>
      </c>
      <c r="H15" s="7">
        <f t="shared" ref="H15" si="3">H14/10</f>
        <v>6.01</v>
      </c>
    </row>
    <row r="17" spans="1:5" x14ac:dyDescent="0.25">
      <c r="A17" s="15" t="s">
        <v>4</v>
      </c>
      <c r="B17" s="15"/>
      <c r="D17" s="15" t="s">
        <v>6</v>
      </c>
      <c r="E17" s="15"/>
    </row>
    <row r="18" spans="1:5" x14ac:dyDescent="0.25">
      <c r="A18" s="13">
        <f>_xlfn.VAR.P(A4:A13)</f>
        <v>0.41</v>
      </c>
      <c r="B18" s="13">
        <f>_xlfn.VAR.P(B4:B13)</f>
        <v>6.01</v>
      </c>
      <c r="D18" s="12">
        <f>_xlfn.STDEV.P(A4:A13)</f>
        <v>0.6403124237432849</v>
      </c>
      <c r="E18" s="12">
        <f>_xlfn.STDEV.P(B4:B13)</f>
        <v>2.4515301344262523</v>
      </c>
    </row>
    <row r="23" spans="1:5" x14ac:dyDescent="0.25">
      <c r="A23" t="s">
        <v>7</v>
      </c>
    </row>
    <row r="24" spans="1:5" x14ac:dyDescent="0.25">
      <c r="A24">
        <v>2</v>
      </c>
      <c r="C24" s="3" t="s">
        <v>8</v>
      </c>
      <c r="D24" s="3" t="s">
        <v>6</v>
      </c>
    </row>
    <row r="25" spans="1:5" x14ac:dyDescent="0.25">
      <c r="A25">
        <v>4</v>
      </c>
      <c r="C25" s="1">
        <f>_xlfn.VAR.P(A24:A28)</f>
        <v>1.6</v>
      </c>
      <c r="D25" s="11">
        <f>_xlfn.STDEV.P(A24:A28)</f>
        <v>1.2649110640673518</v>
      </c>
    </row>
    <row r="26" spans="1:5" x14ac:dyDescent="0.25">
      <c r="A26">
        <v>4</v>
      </c>
    </row>
    <row r="27" spans="1:5" x14ac:dyDescent="0.25">
      <c r="A27">
        <v>4</v>
      </c>
    </row>
    <row r="28" spans="1:5" x14ac:dyDescent="0.25">
      <c r="A28">
        <v>6</v>
      </c>
    </row>
  </sheetData>
  <mergeCells count="7">
    <mergeCell ref="A2:B2"/>
    <mergeCell ref="D2:E2"/>
    <mergeCell ref="A17:B17"/>
    <mergeCell ref="D17:E17"/>
    <mergeCell ref="J2:K2"/>
    <mergeCell ref="G2:H2"/>
    <mergeCell ref="I14:J14"/>
  </mergeCells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Jaquelline Feitoza</cp:lastModifiedBy>
  <dcterms:created xsi:type="dcterms:W3CDTF">2026-08-26T14:53:33Z</dcterms:created>
  <dcterms:modified xsi:type="dcterms:W3CDTF">2026-08-26T20:32:53Z</dcterms:modified>
</cp:coreProperties>
</file>